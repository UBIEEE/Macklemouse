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buffalo-my.sharepoint.com/personal/spvirkle_buffalo_edu/Documents/"/>
    </mc:Choice>
  </mc:AlternateContent>
  <xr:revisionPtr revIDLastSave="0" documentId="8_{CE0589DC-1B2C-47BB-92D8-2A5C3B91006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27" i="1" l="1"/>
  <c r="H28" i="1"/>
  <c r="H29" i="1"/>
  <c r="H30" i="1"/>
  <c r="H31" i="1"/>
  <c r="H17" i="1"/>
  <c r="H26" i="1"/>
  <c r="H25" i="1"/>
  <c r="H24" i="1"/>
  <c r="H19" i="1"/>
  <c r="H20" i="1"/>
  <c r="H21" i="1"/>
  <c r="H22" i="1"/>
  <c r="H23" i="1"/>
  <c r="H13" i="1"/>
  <c r="H14" i="1"/>
  <c r="H18" i="1"/>
  <c r="H16" i="1"/>
  <c r="H15" i="1"/>
  <c r="H12" i="1"/>
  <c r="H11" i="1"/>
  <c r="H10" i="1"/>
  <c r="H9" i="1"/>
  <c r="H8" i="1"/>
  <c r="H7" i="1"/>
  <c r="H6" i="1"/>
  <c r="H5" i="1"/>
  <c r="H4" i="1"/>
  <c r="H3" i="1"/>
  <c r="H2" i="1"/>
  <c r="K3" i="1" l="1"/>
</calcChain>
</file>

<file path=xl/sharedStrings.xml><?xml version="1.0" encoding="utf-8"?>
<sst xmlns="http://schemas.openxmlformats.org/spreadsheetml/2006/main" count="129" uniqueCount="125">
  <si>
    <t>Schematic Reference</t>
  </si>
  <si>
    <t>Component Type</t>
  </si>
  <si>
    <t>Part</t>
  </si>
  <si>
    <t>Link</t>
  </si>
  <si>
    <t>Quantity</t>
  </si>
  <si>
    <t>Unit Price</t>
  </si>
  <si>
    <t>Should Order?</t>
  </si>
  <si>
    <t>Total Price</t>
  </si>
  <si>
    <t>U1</t>
  </si>
  <si>
    <t>Microcontroller</t>
  </si>
  <si>
    <t>TOTAL</t>
  </si>
  <si>
    <t>https://www.adafruit.com/product/4683</t>
  </si>
  <si>
    <t>Buck Converter</t>
  </si>
  <si>
    <t>ESP32 Devkit C</t>
  </si>
  <si>
    <t>MPM3610 3.3V 1.2A</t>
  </si>
  <si>
    <t>https://www.digikey.com.mx/en/products/detail/espressif-systems/ESP32-DEVKITC-VIE/12091811</t>
  </si>
  <si>
    <t>Motor</t>
  </si>
  <si>
    <t>Gearmotor 650rpm 6V</t>
  </si>
  <si>
    <t>https://www.digikey.com.mx/en/products/detail/pololu/3073/10450075</t>
  </si>
  <si>
    <t>Encoder</t>
  </si>
  <si>
    <t>Encoder mag digital vert</t>
  </si>
  <si>
    <t>https://www.digikey.com.mx/en/products/detail/pololu/3081/10450612</t>
  </si>
  <si>
    <t>Motor Driver</t>
  </si>
  <si>
    <t>DRV8833 Dual Motor driver</t>
  </si>
  <si>
    <t>https://www.digikey.com.mx/en/products/detail/pololu/2130/10450426</t>
  </si>
  <si>
    <t>Display</t>
  </si>
  <si>
    <t>WEA012864DBPP3N00003</t>
  </si>
  <si>
    <t>https://www.digikey.com/en/products/detail/winstar-display/WEA012864DBPP3N00003/20533257</t>
  </si>
  <si>
    <t>Breadboard</t>
  </si>
  <si>
    <t>IMU</t>
  </si>
  <si>
    <t>https://www.adafruit.com/product/4517</t>
  </si>
  <si>
    <t>LSM6DSOX+LIS3MDL 9 DoF IMU</t>
  </si>
  <si>
    <t>LSM6DS3TR-C 6-DOF IMU</t>
  </si>
  <si>
    <t>https://www.adafruit.com/product/4503</t>
  </si>
  <si>
    <t>https://www.digikey.com/en/products/detail/adafruit-industries-llc/239/7244929</t>
  </si>
  <si>
    <t>2.2" x 7" Solderless Breadboard</t>
  </si>
  <si>
    <t>IR Transistor setting</t>
  </si>
  <si>
    <t>IR Emitter</t>
  </si>
  <si>
    <t>IR reciever</t>
  </si>
  <si>
    <t>https://www.digikey.com/en/products/detail/ams-osram-ag/SFH-4545/2205955</t>
  </si>
  <si>
    <t>EMITTER IR 950NM 100MA RADIAL</t>
  </si>
  <si>
    <t>https://www.digikey.com/en/products/detail/vishay-semiconductor-opto-division/TEFT4300/1681175</t>
  </si>
  <si>
    <t>https://www.digikey.com/en/products/detail/diotec-semiconductor/2N3904/13164701</t>
  </si>
  <si>
    <t>TRANS NPN 40V 0.2A TO-92</t>
  </si>
  <si>
    <t>PHOTOTRANSISTOR 875 TO 1000 NM</t>
  </si>
  <si>
    <t>Will 3d Print</t>
  </si>
  <si>
    <t>Will get this one to save cost if necessary</t>
  </si>
  <si>
    <t>Frame</t>
  </si>
  <si>
    <t>Batteries</t>
  </si>
  <si>
    <t>BATTERY LITHIUM 3.2V 1.5AH 18650</t>
  </si>
  <si>
    <t>https://www.digikey.com/en/products/detail/zeus-battery-products/PCIFR18650-1500/9828824</t>
  </si>
  <si>
    <t>https://www.digikey.com/en/products/detail/yageo/MFR-25FTE52-18R/9139831</t>
  </si>
  <si>
    <t>Resistor, 18ohm</t>
  </si>
  <si>
    <t>RES 18 OHM 1% 1/4W AXIAL</t>
  </si>
  <si>
    <t>https://www.digikey.com.mx/en/products/detail/stackpole-electronics-inc/CF14JT10K0/1741265</t>
  </si>
  <si>
    <t>Resistor, 10kohm</t>
  </si>
  <si>
    <t>RES 10K OHM 5% 1/4W AXIAL</t>
  </si>
  <si>
    <t>Capacitor, 470 uF</t>
  </si>
  <si>
    <t>https://www.digikey.com.mx/en/products/detail/rubycon/25ZLH470MEFC10X12-5/3563614</t>
  </si>
  <si>
    <t>CAP ALUM 470UF 20% 25V RADIAL TH</t>
  </si>
  <si>
    <t>Jumper Wires</t>
  </si>
  <si>
    <t>https://www.digikey.com.mx/en/products/detail/adafruit-industries-llc/1957/6827090</t>
  </si>
  <si>
    <t>JUMPER WIRE M TO M 6" 28AWG</t>
  </si>
  <si>
    <t>https://www.digikey.com.mx/en/products/detail/kemet/C315C103K5R5TA/817924</t>
  </si>
  <si>
    <t>Capacitor, 10nF</t>
  </si>
  <si>
    <t>CAP CER 10000PF 50V X7R RADIAL</t>
  </si>
  <si>
    <t>https://www.digikey.com.mx/en/products/detail/e-switch/TL2201OAYA/583531</t>
  </si>
  <si>
    <t>SWITCH PUSH DPDT 0.1A 30V</t>
  </si>
  <si>
    <t>Button</t>
  </si>
  <si>
    <t>Already have</t>
  </si>
  <si>
    <t>https://www.adafruit.com/product/5396</t>
  </si>
  <si>
    <t>Adafruit VL53L4CD Time of Flight Distance Sensor - ~1 to 1300mm - STEMMA QT / Qwiic</t>
  </si>
  <si>
    <t>Time of Flight Sensor</t>
  </si>
  <si>
    <t>https://www.digikey.com.mx/en/products/detail/stackpole-electronics-inc/CF12JT470R/1741161</t>
  </si>
  <si>
    <t>Resistor, 470ohm</t>
  </si>
  <si>
    <t>RES 470 OHM 5% 1/2W AXIAL</t>
  </si>
  <si>
    <t>J6</t>
  </si>
  <si>
    <t>M1, M2</t>
  </si>
  <si>
    <t>J9, J10</t>
  </si>
  <si>
    <t>J4, J5</t>
  </si>
  <si>
    <t>J3</t>
  </si>
  <si>
    <t>N/A</t>
  </si>
  <si>
    <t>D1, D2</t>
  </si>
  <si>
    <t>J8</t>
  </si>
  <si>
    <t>Q1, Q2</t>
  </si>
  <si>
    <t>Q5, Q6</t>
  </si>
  <si>
    <t>+BATT</t>
  </si>
  <si>
    <t>R1, R2</t>
  </si>
  <si>
    <t>RES 270 OHM 5% 1/4W AXIAL</t>
  </si>
  <si>
    <t>R5, R6</t>
  </si>
  <si>
    <t>C1</t>
  </si>
  <si>
    <t>C2</t>
  </si>
  <si>
    <t>SW1, SW2</t>
  </si>
  <si>
    <t>J11</t>
  </si>
  <si>
    <t>R9, R10</t>
  </si>
  <si>
    <t>R3, R4, R11</t>
  </si>
  <si>
    <t>Heatsink</t>
  </si>
  <si>
    <t>https://www.digikey.com/en/products/detail/assmann-wsw-components/V2016B/8826901?gclsrc=aw.ds&amp;gad_source=1&amp;gad_campaignid=20228387720&amp;gbraid=0AAAAADrbLlhHTNy3UpR_PrOAJMXIYE11G&amp;gclid=Cj0KCQjwlNPVBhCMARIsAPZ5RqicWnX-xQli_VpX7Ki7GJAYApjvvTKSVMijVYn0CUbWhb-IoIyLkZwaAlJ_EALw_wcB</t>
  </si>
  <si>
    <t>Piezo Buzzer</t>
  </si>
  <si>
    <t>Ball caster</t>
  </si>
  <si>
    <t>https://www.digikey.com.mx/en/products/detail/pololu/1087/10449804?s=N4IgTCBcDaIA4HsA2yCuACAjABgBwHYQBdAXyA</t>
  </si>
  <si>
    <t>Wheel/Tire Combo</t>
  </si>
  <si>
    <t>WHEEL 32X7MM PAIR - BLACK</t>
  </si>
  <si>
    <t>Battery Holder</t>
  </si>
  <si>
    <t>https://www.digikey.com/en/products/detail/mpd-memory-protection-devices/BK-18650-PC2/2079908</t>
  </si>
  <si>
    <t>https://www.digikey.com/en/products/detail/dfrobot/FIT0203/6588423</t>
  </si>
  <si>
    <t>https://www.digikey.com.mx/en/products/detail/pololu/951/10449916</t>
  </si>
  <si>
    <t>https://www.digikey.com.mx/en/products/detail/tdk/PS1240P02BT/935924</t>
  </si>
  <si>
    <t>https://www.adafruit.com/product/1304</t>
  </si>
  <si>
    <t>MAYBE</t>
  </si>
  <si>
    <t>Battery Charger</t>
  </si>
  <si>
    <t>Resistor, 330ohm</t>
  </si>
  <si>
    <t>https://www.digikey.com.mx/en/products/detail/stackpole-electronics-inc/CF14JT330R/1741399</t>
  </si>
  <si>
    <t>BZ1</t>
  </si>
  <si>
    <t>F1</t>
  </si>
  <si>
    <t>HEATSINK CPU XCUT</t>
  </si>
  <si>
    <t>BUZZER PIEZO 3V 12.2MM TH</t>
  </si>
  <si>
    <t>BALL CASTER WITH 3/8" METAL BALL</t>
  </si>
  <si>
    <t>BATTERY HOLDER 18650 PC PIN</t>
  </si>
  <si>
    <t>BREADBOARD GENERAL PURPOSE PTH</t>
  </si>
  <si>
    <t>Adafruit Micro Lipo - USB LiIon/LiPoly charger - v2</t>
  </si>
  <si>
    <t>Solderable Bradboard</t>
  </si>
  <si>
    <t>https://www.digikey.com/en/products/detail/eaton-electronics-division/C310T-SC-4-R-TR1/5420163</t>
  </si>
  <si>
    <t>FUSE CERAMIC 4A 250VAC AXIAL</t>
  </si>
  <si>
    <t>Fuses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</si>
</sst>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$-409]#,##0.00;[Red]\-[$$-409]#,##0.00"/>
    <numFmt numFmtId="165" formatCode="&quot;TRUE&quot;;&quot;TRUE&quot;;&quot;FALSE&quot;"/>
  </numFmts>
  <fonts count="3" x14ac:knownFonts="1"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44" fontId="1" fillId="0" borderId="0" xfId="1"/>
    <xf numFmtId="0" fontId="2" fillId="0" borderId="0" xfId="2"/>
    <xf numFmtId="49" fontId="0" fillId="0" borderId="0" xfId="0" applyNumberFormat="1"/>
    <xf numFmtId="0" fontId="0" fillId="0" borderId="0" xfId="0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afruit.com/product/5396" TargetMode="External"/><Relationship Id="rId13" Type="http://schemas.openxmlformats.org/officeDocument/2006/relationships/hyperlink" Target="https://www.adafruit.com/product/4683" TargetMode="External"/><Relationship Id="rId18" Type="http://schemas.openxmlformats.org/officeDocument/2006/relationships/hyperlink" Target="https://www.digikey.com/en/products/detail/assmann-wsw-components/V2016B/8826901?gclsrc=aw.ds&amp;gad_source=1&amp;gad_campaignid=20228387720&amp;gbraid=0AAAAADrbLlhHTNy3UpR_PrOAJMXIYE11G&amp;gclid=Cj0KCQjwlNPVBhCMARIsAPZ5RqicWnX-xQli_VpX7Ki7GJAYApjvvTKSVMijVYn0CUbWhb-IoIyLkZwaAlJ_EALw_wcB" TargetMode="External"/><Relationship Id="rId3" Type="http://schemas.openxmlformats.org/officeDocument/2006/relationships/hyperlink" Target="https://www.digikey.com.mx/en/products/detail/pololu/2130/10450426" TargetMode="External"/><Relationship Id="rId21" Type="http://schemas.openxmlformats.org/officeDocument/2006/relationships/hyperlink" Target="https://www.digikey.com.mx/en/products/detail/tdk/PS1240P02BT/935924" TargetMode="External"/><Relationship Id="rId7" Type="http://schemas.openxmlformats.org/officeDocument/2006/relationships/hyperlink" Target="https://www.digikey.com/en/products/detail/winstar-display/WEA012864DBPP3N00003/20533257" TargetMode="External"/><Relationship Id="rId12" Type="http://schemas.openxmlformats.org/officeDocument/2006/relationships/hyperlink" Target="https://www.adafruit.com/product/4503" TargetMode="External"/><Relationship Id="rId17" Type="http://schemas.openxmlformats.org/officeDocument/2006/relationships/hyperlink" Target="https://www.digikey.com.mx/en/products/detail/rubycon/25ZLH470MEFC10X12-5/3563614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.mx/en/products/detail/espressif-systems/ESP32-DEVKITC-VIE/12091811" TargetMode="External"/><Relationship Id="rId16" Type="http://schemas.openxmlformats.org/officeDocument/2006/relationships/hyperlink" Target="https://www.digikey.com/en/products/detail/yageo/MFR-25FTE52-18R/9139831" TargetMode="External"/><Relationship Id="rId20" Type="http://schemas.openxmlformats.org/officeDocument/2006/relationships/hyperlink" Target="https://www.digikey.com/en/products/detail/dfrobot/FIT0203/6588423" TargetMode="External"/><Relationship Id="rId1" Type="http://schemas.openxmlformats.org/officeDocument/2006/relationships/hyperlink" Target="https://www.digikey.com/en/products/detail/vishay-semiconductor-opto-division/TEFT4300/1681175" TargetMode="External"/><Relationship Id="rId6" Type="http://schemas.openxmlformats.org/officeDocument/2006/relationships/hyperlink" Target="https://www.digikey.com.mx/en/products/detail/kemet/C315C103K5R5TA/817924" TargetMode="External"/><Relationship Id="rId11" Type="http://schemas.openxmlformats.org/officeDocument/2006/relationships/hyperlink" Target="https://www.digikey.com/en/products/detail/diotec-semiconductor/2N3904/13164701" TargetMode="External"/><Relationship Id="rId24" Type="http://schemas.openxmlformats.org/officeDocument/2006/relationships/hyperlink" Target="https://www.adafruit.com/product/1304" TargetMode="External"/><Relationship Id="rId5" Type="http://schemas.openxmlformats.org/officeDocument/2006/relationships/hyperlink" Target="https://www.digikey.com/en/products/detail/zeus-battery-products/PCIFR18650-1500/9828824" TargetMode="External"/><Relationship Id="rId15" Type="http://schemas.openxmlformats.org/officeDocument/2006/relationships/hyperlink" Target="https://www.digikey.com/en/products/detail/ams-osram-ag/SFH-4545/2205955" TargetMode="External"/><Relationship Id="rId23" Type="http://schemas.openxmlformats.org/officeDocument/2006/relationships/hyperlink" Target="https://www.digikey.com/en/products/detail/mpd-memory-protection-devices/BK-18650-PC2/2079908" TargetMode="External"/><Relationship Id="rId10" Type="http://schemas.openxmlformats.org/officeDocument/2006/relationships/hyperlink" Target="https://www.digikey.com.mx/en/products/detail/stackpole-electronics-inc/CF14JT10K0/1741265" TargetMode="External"/><Relationship Id="rId19" Type="http://schemas.openxmlformats.org/officeDocument/2006/relationships/hyperlink" Target="https://www.digikey.com.mx/en/products/detail/pololu/1087/10449804?s=N4IgTCBcDaIA4HsA2yCuACAjABgBwHYQBdAXyA" TargetMode="External"/><Relationship Id="rId4" Type="http://schemas.openxmlformats.org/officeDocument/2006/relationships/hyperlink" Target="https://www.adafruit.com/product/4517" TargetMode="External"/><Relationship Id="rId9" Type="http://schemas.openxmlformats.org/officeDocument/2006/relationships/hyperlink" Target="https://www.digikey.com.mx/en/products/detail/pololu/3081/10450612" TargetMode="External"/><Relationship Id="rId14" Type="http://schemas.openxmlformats.org/officeDocument/2006/relationships/hyperlink" Target="https://www.digikey.com.mx/en/products/detail/pololu/3073/10450075" TargetMode="External"/><Relationship Id="rId22" Type="http://schemas.openxmlformats.org/officeDocument/2006/relationships/hyperlink" Target="https://www.digikey.com.mx/en/products/detail/pololu/951/104499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Normal="100" workbookViewId="0">
      <selection activeCell="H32" sqref="H32"/>
    </sheetView>
  </sheetViews>
  <sheetFormatPr defaultColWidth="11.5546875" defaultRowHeight="13.2" x14ac:dyDescent="0.25"/>
  <cols>
    <col min="1" max="1" width="18.6640625" customWidth="1"/>
    <col min="2" max="2" width="18.88671875" bestFit="1" customWidth="1"/>
    <col min="3" max="3" width="18.88671875" customWidth="1"/>
    <col min="4" max="4" width="32.6640625" customWidth="1"/>
    <col min="6" max="6" width="15.109375" style="4" bestFit="1" customWidth="1"/>
    <col min="7" max="7" width="13.332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9</v>
      </c>
      <c r="C2" t="s">
        <v>13</v>
      </c>
      <c r="D2" s="5" t="s">
        <v>15</v>
      </c>
      <c r="E2">
        <v>1</v>
      </c>
      <c r="F2" s="4">
        <v>11</v>
      </c>
      <c r="G2" s="3" t="b">
        <v>1</v>
      </c>
      <c r="H2" s="2">
        <f t="shared" ref="H2:H31" si="0">E2*F2*G2</f>
        <v>11</v>
      </c>
      <c r="K2" s="1" t="s">
        <v>10</v>
      </c>
    </row>
    <row r="3" spans="1:11" x14ac:dyDescent="0.25">
      <c r="A3" t="s">
        <v>76</v>
      </c>
      <c r="B3" t="s">
        <v>12</v>
      </c>
      <c r="C3" t="s">
        <v>14</v>
      </c>
      <c r="D3" s="5" t="s">
        <v>11</v>
      </c>
      <c r="E3">
        <v>1</v>
      </c>
      <c r="F3" s="4">
        <v>5.95</v>
      </c>
      <c r="G3" t="b">
        <v>1</v>
      </c>
      <c r="H3" s="2">
        <f t="shared" si="0"/>
        <v>5.95</v>
      </c>
      <c r="K3" s="2">
        <f>SUM(H2:H267)</f>
        <v>172.17</v>
      </c>
    </row>
    <row r="4" spans="1:11" x14ac:dyDescent="0.25">
      <c r="A4" t="s">
        <v>77</v>
      </c>
      <c r="B4" t="s">
        <v>16</v>
      </c>
      <c r="C4" t="s">
        <v>17</v>
      </c>
      <c r="D4" s="5" t="s">
        <v>18</v>
      </c>
      <c r="E4">
        <v>2</v>
      </c>
      <c r="F4" s="4">
        <v>27.45</v>
      </c>
      <c r="G4" t="b">
        <v>1</v>
      </c>
      <c r="H4" s="2">
        <f t="shared" si="0"/>
        <v>54.9</v>
      </c>
    </row>
    <row r="5" spans="1:11" x14ac:dyDescent="0.25">
      <c r="A5" t="s">
        <v>78</v>
      </c>
      <c r="B5" t="s">
        <v>19</v>
      </c>
      <c r="C5" t="s">
        <v>20</v>
      </c>
      <c r="D5" s="5" t="s">
        <v>21</v>
      </c>
      <c r="E5">
        <v>1</v>
      </c>
      <c r="F5" s="4">
        <v>9.9499999999999993</v>
      </c>
      <c r="G5" t="b">
        <v>1</v>
      </c>
      <c r="H5" s="2">
        <f t="shared" si="0"/>
        <v>9.9499999999999993</v>
      </c>
    </row>
    <row r="6" spans="1:11" x14ac:dyDescent="0.25">
      <c r="A6" t="s">
        <v>79</v>
      </c>
      <c r="B6" t="s">
        <v>22</v>
      </c>
      <c r="C6" t="s">
        <v>23</v>
      </c>
      <c r="D6" s="5" t="s">
        <v>24</v>
      </c>
      <c r="E6">
        <v>1</v>
      </c>
      <c r="F6" s="4">
        <v>10.95</v>
      </c>
      <c r="G6" t="b">
        <v>1</v>
      </c>
      <c r="H6" s="2">
        <f t="shared" si="0"/>
        <v>10.95</v>
      </c>
    </row>
    <row r="7" spans="1:11" x14ac:dyDescent="0.25">
      <c r="A7" t="s">
        <v>80</v>
      </c>
      <c r="B7" t="s">
        <v>25</v>
      </c>
      <c r="C7" t="s">
        <v>26</v>
      </c>
      <c r="D7" s="5" t="s">
        <v>27</v>
      </c>
      <c r="E7">
        <v>1</v>
      </c>
      <c r="F7" s="4">
        <v>7.82</v>
      </c>
      <c r="G7" t="b">
        <v>1</v>
      </c>
      <c r="H7" s="2">
        <f t="shared" si="0"/>
        <v>7.82</v>
      </c>
    </row>
    <row r="8" spans="1:11" hidden="1" x14ac:dyDescent="0.25">
      <c r="A8" t="s">
        <v>81</v>
      </c>
      <c r="B8" t="s">
        <v>28</v>
      </c>
      <c r="C8" t="s">
        <v>35</v>
      </c>
      <c r="D8" t="s">
        <v>34</v>
      </c>
      <c r="E8">
        <v>1</v>
      </c>
      <c r="F8" s="4">
        <v>5.95</v>
      </c>
      <c r="G8" t="b">
        <v>0</v>
      </c>
      <c r="H8" s="2">
        <f t="shared" si="0"/>
        <v>0</v>
      </c>
    </row>
    <row r="9" spans="1:11" x14ac:dyDescent="0.25">
      <c r="B9" t="s">
        <v>101</v>
      </c>
      <c r="C9" t="s">
        <v>102</v>
      </c>
      <c r="D9" s="5" t="s">
        <v>100</v>
      </c>
      <c r="E9">
        <v>1</v>
      </c>
      <c r="F9" s="4">
        <v>4.45</v>
      </c>
      <c r="G9" t="b">
        <v>1</v>
      </c>
      <c r="H9" s="2">
        <f t="shared" si="0"/>
        <v>4.45</v>
      </c>
      <c r="I9" t="s">
        <v>45</v>
      </c>
    </row>
    <row r="10" spans="1:11" x14ac:dyDescent="0.25">
      <c r="A10" t="s">
        <v>82</v>
      </c>
      <c r="B10" t="s">
        <v>37</v>
      </c>
      <c r="C10" t="s">
        <v>40</v>
      </c>
      <c r="D10" s="5" t="s">
        <v>39</v>
      </c>
      <c r="E10">
        <v>3</v>
      </c>
      <c r="F10" s="4">
        <v>0.79</v>
      </c>
      <c r="G10" t="b">
        <v>1</v>
      </c>
      <c r="H10" s="2">
        <f t="shared" si="0"/>
        <v>2.37</v>
      </c>
    </row>
    <row r="11" spans="1:11" hidden="1" x14ac:dyDescent="0.25">
      <c r="A11" t="s">
        <v>83</v>
      </c>
      <c r="B11" t="s">
        <v>29</v>
      </c>
      <c r="C11" t="s">
        <v>31</v>
      </c>
      <c r="D11" s="5" t="s">
        <v>30</v>
      </c>
      <c r="E11">
        <v>1</v>
      </c>
      <c r="F11" s="4">
        <v>19.95</v>
      </c>
      <c r="G11" t="b">
        <v>0</v>
      </c>
      <c r="H11" s="2">
        <f t="shared" si="0"/>
        <v>0</v>
      </c>
    </row>
    <row r="12" spans="1:11" x14ac:dyDescent="0.25">
      <c r="A12" t="s">
        <v>83</v>
      </c>
      <c r="B12" t="s">
        <v>29</v>
      </c>
      <c r="C12" t="s">
        <v>32</v>
      </c>
      <c r="D12" s="5" t="s">
        <v>33</v>
      </c>
      <c r="E12">
        <v>1</v>
      </c>
      <c r="F12" s="4">
        <v>9.9499999999999993</v>
      </c>
      <c r="G12" t="b">
        <v>1</v>
      </c>
      <c r="H12" s="2">
        <f t="shared" si="0"/>
        <v>9.9499999999999993</v>
      </c>
      <c r="I12" t="s">
        <v>46</v>
      </c>
    </row>
    <row r="13" spans="1:11" x14ac:dyDescent="0.25">
      <c r="A13" t="s">
        <v>84</v>
      </c>
      <c r="B13" t="s">
        <v>36</v>
      </c>
      <c r="C13" t="s">
        <v>43</v>
      </c>
      <c r="D13" s="5" t="s">
        <v>42</v>
      </c>
      <c r="E13">
        <v>10</v>
      </c>
      <c r="F13" s="4">
        <v>7.0000000000000007E-2</v>
      </c>
      <c r="G13" t="b">
        <v>1</v>
      </c>
      <c r="H13" s="2">
        <f t="shared" si="0"/>
        <v>0.70000000000000007</v>
      </c>
    </row>
    <row r="14" spans="1:11" x14ac:dyDescent="0.25">
      <c r="A14" t="s">
        <v>85</v>
      </c>
      <c r="B14" t="s">
        <v>38</v>
      </c>
      <c r="C14" t="s">
        <v>44</v>
      </c>
      <c r="D14" s="5" t="s">
        <v>41</v>
      </c>
      <c r="E14">
        <v>3</v>
      </c>
      <c r="F14" s="4">
        <v>0.7</v>
      </c>
      <c r="G14" t="b">
        <v>1</v>
      </c>
      <c r="H14" s="2">
        <f t="shared" si="0"/>
        <v>2.0999999999999996</v>
      </c>
    </row>
    <row r="15" spans="1:11" x14ac:dyDescent="0.25">
      <c r="B15" t="s">
        <v>47</v>
      </c>
      <c r="E15">
        <v>1</v>
      </c>
      <c r="G15" t="b">
        <v>0</v>
      </c>
      <c r="H15" s="2">
        <f t="shared" si="0"/>
        <v>0</v>
      </c>
      <c r="I15" t="s">
        <v>45</v>
      </c>
    </row>
    <row r="16" spans="1:11" x14ac:dyDescent="0.25">
      <c r="A16" s="6" t="s">
        <v>86</v>
      </c>
      <c r="B16" t="s">
        <v>48</v>
      </c>
      <c r="C16" t="s">
        <v>49</v>
      </c>
      <c r="D16" s="5" t="s">
        <v>50</v>
      </c>
      <c r="E16">
        <v>2</v>
      </c>
      <c r="F16" s="4">
        <v>6.81</v>
      </c>
      <c r="G16" t="b">
        <v>1</v>
      </c>
      <c r="H16" s="2">
        <f t="shared" si="0"/>
        <v>13.62</v>
      </c>
    </row>
    <row r="17" spans="1:9" x14ac:dyDescent="0.25">
      <c r="A17" t="s">
        <v>87</v>
      </c>
      <c r="B17" t="s">
        <v>52</v>
      </c>
      <c r="C17" t="s">
        <v>53</v>
      </c>
      <c r="D17" s="5" t="s">
        <v>51</v>
      </c>
      <c r="E17">
        <v>10</v>
      </c>
      <c r="F17" s="4">
        <v>4.2000000000000003E-2</v>
      </c>
      <c r="G17" t="b">
        <v>1</v>
      </c>
      <c r="H17" s="2">
        <f t="shared" si="0"/>
        <v>0.42000000000000004</v>
      </c>
    </row>
    <row r="18" spans="1:9" x14ac:dyDescent="0.25">
      <c r="A18" t="s">
        <v>114</v>
      </c>
      <c r="B18" s="7" t="s">
        <v>124</v>
      </c>
      <c r="C18" t="s">
        <v>123</v>
      </c>
      <c r="D18" t="s">
        <v>122</v>
      </c>
      <c r="E18">
        <v>5</v>
      </c>
      <c r="F18" s="4">
        <v>0.25800000000000001</v>
      </c>
      <c r="G18" t="b">
        <v>1</v>
      </c>
      <c r="H18" s="2">
        <f t="shared" si="0"/>
        <v>1.29</v>
      </c>
    </row>
    <row r="19" spans="1:9" x14ac:dyDescent="0.25">
      <c r="A19" t="s">
        <v>89</v>
      </c>
      <c r="B19" t="s">
        <v>55</v>
      </c>
      <c r="C19" t="s">
        <v>56</v>
      </c>
      <c r="D19" s="5" t="s">
        <v>54</v>
      </c>
      <c r="E19">
        <v>10</v>
      </c>
      <c r="F19" s="4">
        <v>2.7E-2</v>
      </c>
      <c r="G19" t="b">
        <v>1</v>
      </c>
      <c r="H19" s="2">
        <f t="shared" si="0"/>
        <v>0.27</v>
      </c>
    </row>
    <row r="20" spans="1:9" x14ac:dyDescent="0.25">
      <c r="A20" t="s">
        <v>90</v>
      </c>
      <c r="B20" t="s">
        <v>57</v>
      </c>
      <c r="C20" t="s">
        <v>59</v>
      </c>
      <c r="D20" s="5" t="s">
        <v>58</v>
      </c>
      <c r="E20">
        <v>2</v>
      </c>
      <c r="F20" s="4">
        <v>0.67</v>
      </c>
      <c r="G20" t="b">
        <v>1</v>
      </c>
      <c r="H20" s="2">
        <f t="shared" si="0"/>
        <v>1.34</v>
      </c>
    </row>
    <row r="21" spans="1:9" x14ac:dyDescent="0.25">
      <c r="A21" t="s">
        <v>81</v>
      </c>
      <c r="B21" t="s">
        <v>60</v>
      </c>
      <c r="C21" t="s">
        <v>62</v>
      </c>
      <c r="D21" t="s">
        <v>61</v>
      </c>
      <c r="E21">
        <v>3</v>
      </c>
      <c r="F21" s="4">
        <v>1.95</v>
      </c>
      <c r="G21" t="b">
        <v>1</v>
      </c>
      <c r="H21" s="2">
        <f t="shared" si="0"/>
        <v>5.85</v>
      </c>
    </row>
    <row r="22" spans="1:9" x14ac:dyDescent="0.25">
      <c r="A22" t="s">
        <v>91</v>
      </c>
      <c r="B22" t="s">
        <v>64</v>
      </c>
      <c r="C22" t="s">
        <v>65</v>
      </c>
      <c r="D22" s="5" t="s">
        <v>63</v>
      </c>
      <c r="E22">
        <v>2</v>
      </c>
      <c r="F22" s="4">
        <v>0.54</v>
      </c>
      <c r="G22" t="b">
        <v>1</v>
      </c>
      <c r="H22" s="2">
        <f t="shared" si="0"/>
        <v>1.08</v>
      </c>
    </row>
    <row r="23" spans="1:9" x14ac:dyDescent="0.25">
      <c r="A23" t="s">
        <v>92</v>
      </c>
      <c r="B23" t="s">
        <v>68</v>
      </c>
      <c r="C23" t="s">
        <v>67</v>
      </c>
      <c r="D23" t="s">
        <v>66</v>
      </c>
      <c r="E23">
        <v>2</v>
      </c>
      <c r="F23" s="4">
        <v>1.01</v>
      </c>
      <c r="G23" t="b">
        <v>0</v>
      </c>
      <c r="H23" s="2">
        <f t="shared" si="0"/>
        <v>0</v>
      </c>
      <c r="I23" t="s">
        <v>69</v>
      </c>
    </row>
    <row r="24" spans="1:9" x14ac:dyDescent="0.25">
      <c r="A24" t="s">
        <v>93</v>
      </c>
      <c r="B24" t="s">
        <v>72</v>
      </c>
      <c r="C24" t="s">
        <v>71</v>
      </c>
      <c r="D24" s="5" t="s">
        <v>70</v>
      </c>
      <c r="E24">
        <v>1</v>
      </c>
      <c r="F24" s="4">
        <v>14.95</v>
      </c>
      <c r="G24" t="b">
        <v>1</v>
      </c>
      <c r="H24" s="2">
        <f t="shared" si="0"/>
        <v>14.95</v>
      </c>
    </row>
    <row r="25" spans="1:9" x14ac:dyDescent="0.25">
      <c r="A25" t="s">
        <v>94</v>
      </c>
      <c r="B25" t="s">
        <v>74</v>
      </c>
      <c r="C25" t="s">
        <v>75</v>
      </c>
      <c r="D25" t="s">
        <v>73</v>
      </c>
      <c r="E25">
        <v>10</v>
      </c>
      <c r="F25" s="4">
        <v>3.6999999999999998E-2</v>
      </c>
      <c r="G25" t="b">
        <v>1</v>
      </c>
      <c r="H25" s="2">
        <f t="shared" si="0"/>
        <v>0.37</v>
      </c>
    </row>
    <row r="26" spans="1:9" x14ac:dyDescent="0.25">
      <c r="A26" t="s">
        <v>95</v>
      </c>
      <c r="B26" t="s">
        <v>111</v>
      </c>
      <c r="C26" t="s">
        <v>88</v>
      </c>
      <c r="D26" s="5" t="s">
        <v>112</v>
      </c>
      <c r="E26">
        <v>10</v>
      </c>
      <c r="F26" s="4">
        <v>2.7E-2</v>
      </c>
      <c r="G26" t="b">
        <v>1</v>
      </c>
      <c r="H26" s="2">
        <f t="shared" si="0"/>
        <v>0.27</v>
      </c>
    </row>
    <row r="27" spans="1:9" x14ac:dyDescent="0.25">
      <c r="B27" t="s">
        <v>96</v>
      </c>
      <c r="C27" t="s">
        <v>115</v>
      </c>
      <c r="D27" s="5" t="s">
        <v>97</v>
      </c>
      <c r="E27">
        <v>1</v>
      </c>
      <c r="F27" s="4">
        <v>0.49</v>
      </c>
      <c r="G27" t="b">
        <v>1</v>
      </c>
      <c r="H27" s="2">
        <f t="shared" si="0"/>
        <v>0.49</v>
      </c>
    </row>
    <row r="28" spans="1:9" x14ac:dyDescent="0.25">
      <c r="A28" t="s">
        <v>113</v>
      </c>
      <c r="B28" t="s">
        <v>98</v>
      </c>
      <c r="C28" t="s">
        <v>116</v>
      </c>
      <c r="D28" s="5" t="s">
        <v>107</v>
      </c>
      <c r="E28">
        <v>1</v>
      </c>
      <c r="F28" s="4">
        <v>0.73</v>
      </c>
      <c r="G28" t="b">
        <v>1</v>
      </c>
      <c r="H28" s="2">
        <f t="shared" si="0"/>
        <v>0.73</v>
      </c>
    </row>
    <row r="29" spans="1:9" x14ac:dyDescent="0.25">
      <c r="B29" t="s">
        <v>99</v>
      </c>
      <c r="C29" t="s">
        <v>117</v>
      </c>
      <c r="D29" s="5" t="s">
        <v>106</v>
      </c>
      <c r="E29">
        <v>1</v>
      </c>
      <c r="F29" s="4">
        <v>2.95</v>
      </c>
      <c r="G29" t="b">
        <v>1</v>
      </c>
      <c r="H29" s="2">
        <f t="shared" si="0"/>
        <v>2.95</v>
      </c>
    </row>
    <row r="30" spans="1:9" x14ac:dyDescent="0.25">
      <c r="B30" t="s">
        <v>103</v>
      </c>
      <c r="C30" t="s">
        <v>118</v>
      </c>
      <c r="D30" s="5" t="s">
        <v>104</v>
      </c>
      <c r="E30">
        <v>2</v>
      </c>
      <c r="F30" s="4">
        <v>2.75</v>
      </c>
      <c r="G30" t="b">
        <v>1</v>
      </c>
      <c r="H30" s="2">
        <f t="shared" si="0"/>
        <v>5.5</v>
      </c>
    </row>
    <row r="31" spans="1:9" x14ac:dyDescent="0.25">
      <c r="B31" t="s">
        <v>121</v>
      </c>
      <c r="C31" t="s">
        <v>119</v>
      </c>
      <c r="D31" s="5" t="s">
        <v>105</v>
      </c>
      <c r="E31">
        <v>1</v>
      </c>
      <c r="F31" s="4">
        <v>2.9</v>
      </c>
      <c r="G31" t="b">
        <v>1</v>
      </c>
      <c r="H31" s="2">
        <f t="shared" si="0"/>
        <v>2.9</v>
      </c>
    </row>
    <row r="32" spans="1:9" x14ac:dyDescent="0.25">
      <c r="B32" t="s">
        <v>110</v>
      </c>
      <c r="C32" t="s">
        <v>120</v>
      </c>
      <c r="D32" s="5" t="s">
        <v>108</v>
      </c>
      <c r="E32">
        <v>1</v>
      </c>
      <c r="F32" s="4">
        <v>5.49</v>
      </c>
      <c r="G32" t="s">
        <v>109</v>
      </c>
      <c r="H32" s="2"/>
    </row>
  </sheetData>
  <hyperlinks>
    <hyperlink ref="D14" r:id="rId1" xr:uid="{67F3C60C-F833-4BB7-99CB-E37941DB6738}"/>
    <hyperlink ref="D2" r:id="rId2" xr:uid="{37308D2F-A3AA-43A7-AD64-F591032BA1AB}"/>
    <hyperlink ref="D6" r:id="rId3" xr:uid="{4CF0D312-544A-47C5-B582-28B592E9CD64}"/>
    <hyperlink ref="D11" r:id="rId4" xr:uid="{C413BE9E-CB82-49B8-9FB6-0DE6F3505904}"/>
    <hyperlink ref="D16" r:id="rId5" xr:uid="{4B62E4EB-634B-4BBE-938F-CF79DAB4620C}"/>
    <hyperlink ref="D22" r:id="rId6" xr:uid="{BD8C81AE-CCD3-41D8-883A-B735CF975F6D}"/>
    <hyperlink ref="D7" r:id="rId7" xr:uid="{0BAD44D4-B8E9-4ED5-80A6-A3910E524D50}"/>
    <hyperlink ref="D24" r:id="rId8" xr:uid="{6E28035E-7A7A-46E9-AFF0-C8E192940292}"/>
    <hyperlink ref="D5" r:id="rId9" xr:uid="{4B2DEE52-4E87-483D-A578-28E241B6762B}"/>
    <hyperlink ref="D19" r:id="rId10" xr:uid="{C051A7EE-E409-40AF-8A7B-E5A606475B9C}"/>
    <hyperlink ref="D13" r:id="rId11" xr:uid="{12293F30-7CDD-4E8E-AF27-7DCD7FFFE6D8}"/>
    <hyperlink ref="D12" r:id="rId12" xr:uid="{92A45176-B95B-41E4-BA14-27238EAD0D8E}"/>
    <hyperlink ref="D3" r:id="rId13" xr:uid="{C433AFBA-F4EF-4445-B8B5-03E102DA0E96}"/>
    <hyperlink ref="D4" r:id="rId14" xr:uid="{9679ABA3-828F-4B2E-9EEC-ADB08750EE6C}"/>
    <hyperlink ref="D10" r:id="rId15" xr:uid="{1C8D3C1F-75A3-4010-8E5F-162A0575E206}"/>
    <hyperlink ref="D17" r:id="rId16" xr:uid="{C3543884-ACEA-440A-A266-AE0AA18A2A67}"/>
    <hyperlink ref="D20" r:id="rId17" xr:uid="{487C3C34-40B7-43BB-A81E-C8D80857C2CA}"/>
    <hyperlink ref="D27" r:id="rId18" display="https://www.digikey.com/en/products/detail/assmann-wsw-components/V2016B/8826901?gclsrc=aw.ds&amp;gad_source=1&amp;gad_campaignid=20228387720&amp;gbraid=0AAAAADrbLlhHTNy3UpR_PrOAJMXIYE11G&amp;gclid=Cj0KCQjwlNPVBhCMARIsAPZ5RqicWnX-xQli_VpX7Ki7GJAYApjvvTKSVMijVYn0CUbWhb-IoIyLkZwaAlJ_EALw_wcB" xr:uid="{EB127532-530A-4B0E-8C85-99852D235F7D}"/>
    <hyperlink ref="D9" r:id="rId19" xr:uid="{2F18FC22-11A8-47EF-8B8D-553151DF9A58}"/>
    <hyperlink ref="D31" r:id="rId20" xr:uid="{541C54BF-E04D-42CF-9ACC-3BBBB49EE6BA}"/>
    <hyperlink ref="D28" r:id="rId21" xr:uid="{BE5C2494-5E6E-41A9-84B2-8A44AF8C265D}"/>
    <hyperlink ref="D29" r:id="rId22" xr:uid="{8876259D-DE43-4B23-B52E-3C11498432F7}"/>
    <hyperlink ref="D30" r:id="rId23" xr:uid="{891FC1BF-3950-405C-ADE5-D511AFD1F534}"/>
    <hyperlink ref="D32" r:id="rId24" xr:uid="{D1656182-8635-4F3F-8992-17AE9A2108F7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25"/>
  <headerFooter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Sam Virkler</cp:lastModifiedBy>
  <cp:revision>2</cp:revision>
  <cp:lastPrinted>2026-10-03T23:07:14Z</cp:lastPrinted>
  <dcterms:created xsi:type="dcterms:W3CDTF">2026-09-15T14:17:52Z</dcterms:created>
  <dcterms:modified xsi:type="dcterms:W3CDTF">2026-10-14T15:59:35Z</dcterms:modified>
  <dc:language>en-US</dc:language>
</cp:coreProperties>
</file>